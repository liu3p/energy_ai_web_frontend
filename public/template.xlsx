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350" windowHeight="12255" tabRatio="560" activeTab="5"/>
  </bookViews>
  <sheets>
    <sheet name="遥测" sheetId="1" r:id="rId1"/>
    <sheet name="遥信" sheetId="2" r:id="rId2"/>
    <sheet name="遥脉" sheetId="3" r:id="rId3"/>
    <sheet name="遥调" sheetId="4" r:id="rId4"/>
    <sheet name="遥控" sheetId="5" r:id="rId5"/>
    <sheet name="属性" sheetId="7" r:id="rId6"/>
    <sheet name="附录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<sst xmlns="http://schemas.openxmlformats.org/spreadsheetml/2006/main" count="172" uniqueCount="105">
  <si>
    <t>点号</t>
  </si>
  <si>
    <t>原始地址</t>
  </si>
  <si>
    <t>原始名</t>
  </si>
  <si>
    <t>遥测子类型</t>
  </si>
  <si>
    <t>数据类型</t>
  </si>
  <si>
    <t>功能码</t>
  </si>
  <si>
    <t>偏移量</t>
  </si>
  <si>
    <t>系数</t>
  </si>
  <si>
    <t>单位</t>
  </si>
  <si>
    <t>上限</t>
  </si>
  <si>
    <t>下限</t>
  </si>
  <si>
    <t>计算点</t>
  </si>
  <si>
    <t>人工置数点</t>
  </si>
  <si>
    <t>报警允许</t>
  </si>
  <si>
    <t>是否转发</t>
  </si>
  <si>
    <t>历史存盘周期</t>
  </si>
  <si>
    <t>MqttKey</t>
  </si>
  <si>
    <t>示例电压</t>
  </si>
  <si>
    <t>1*电压</t>
  </si>
  <si>
    <t>5*UINT_16</t>
  </si>
  <si>
    <t>V</t>
  </si>
  <si>
    <t/>
  </si>
  <si>
    <t>遥信子类型</t>
  </si>
  <si>
    <t>位偏移</t>
  </si>
  <si>
    <t>取反</t>
  </si>
  <si>
    <t>示例开关</t>
  </si>
  <si>
    <t>1*开关信号</t>
  </si>
  <si>
    <t>1*BIT_8</t>
  </si>
  <si>
    <t>遥脉子类型</t>
  </si>
  <si>
    <t>满刻度值</t>
  </si>
  <si>
    <t>示例电能量</t>
  </si>
  <si>
    <t>0*正向有功电能</t>
  </si>
  <si>
    <t>kWh</t>
  </si>
  <si>
    <t>控制模式</t>
  </si>
  <si>
    <t>相关遥测</t>
  </si>
  <si>
    <t>下发系数</t>
  </si>
  <si>
    <t>遥调上限</t>
  </si>
  <si>
    <t>遥调下限</t>
  </si>
  <si>
    <t>遥调超时时间</t>
  </si>
  <si>
    <t>功率设定</t>
  </si>
  <si>
    <t>7*INT_16</t>
  </si>
  <si>
    <t>0*直控</t>
  </si>
  <si>
    <t>P_SET</t>
  </si>
  <si>
    <t>相关遥信</t>
  </si>
  <si>
    <t>遥控超时时间</t>
  </si>
  <si>
    <t>开关控制</t>
  </si>
  <si>
    <t>SW_STAT</t>
  </si>
  <si>
    <t>值类型</t>
  </si>
  <si>
    <t>2*STRING</t>
  </si>
  <si>
    <t>0*SPECIAL</t>
  </si>
  <si>
    <t>0*其它</t>
  </si>
  <si>
    <t>0*状态信号</t>
  </si>
  <si>
    <t>0*INT</t>
  </si>
  <si>
    <t>1*反向有功电能</t>
  </si>
  <si>
    <t>1*选择执行</t>
  </si>
  <si>
    <t>1*FLOAT</t>
  </si>
  <si>
    <t>2*REVERSE_BIT_8</t>
  </si>
  <si>
    <t>2*电流</t>
  </si>
  <si>
    <t>2*故障信号</t>
  </si>
  <si>
    <t>2*正向无功电能</t>
  </si>
  <si>
    <t>3*UINT_8</t>
  </si>
  <si>
    <t>3*有功功率</t>
  </si>
  <si>
    <t>3*告警信号</t>
  </si>
  <si>
    <t>3*反向无功电能</t>
  </si>
  <si>
    <t>4*INT_8</t>
  </si>
  <si>
    <t>4*无功功率</t>
  </si>
  <si>
    <t>4*正向视在电能</t>
  </si>
  <si>
    <t>5*视在功率</t>
  </si>
  <si>
    <t>5*反向视在电能</t>
  </si>
  <si>
    <t>6*REVERSE_UINT_16</t>
  </si>
  <si>
    <t>6*功率因数</t>
  </si>
  <si>
    <t>7*频率</t>
  </si>
  <si>
    <t>8*REVERSE_INT_16</t>
  </si>
  <si>
    <t>8*温度</t>
  </si>
  <si>
    <t>9*UINT_32</t>
  </si>
  <si>
    <t>9*变比</t>
  </si>
  <si>
    <t>10*REVERSE_UINT_32</t>
  </si>
  <si>
    <t>10*需量</t>
  </si>
  <si>
    <t>11*SWAP_UINT_32</t>
  </si>
  <si>
    <t>11*电阻</t>
  </si>
  <si>
    <t>12*REVERSE_SWAP_UINT_32</t>
  </si>
  <si>
    <t>12*湿度</t>
  </si>
  <si>
    <t>13*INT_32</t>
  </si>
  <si>
    <t>14*REVERSE_INT_32</t>
  </si>
  <si>
    <t>15*SWAP_INT_32</t>
  </si>
  <si>
    <t>16*REVERSE_SWAP_INT_32</t>
  </si>
  <si>
    <t>17*UINT_64</t>
  </si>
  <si>
    <t>18*REVERSE_UINT_64</t>
  </si>
  <si>
    <t>19*SWAP_UINT_64</t>
  </si>
  <si>
    <t>20*REVERSE_SWAP_UINT_64</t>
  </si>
  <si>
    <t>21*INT_64</t>
  </si>
  <si>
    <t>22*REVERSE_INT_64</t>
  </si>
  <si>
    <t>23*SWAP_INT_64</t>
  </si>
  <si>
    <t>24*REVERSE_SWAP_INT_64</t>
  </si>
  <si>
    <t>25*FLOAT_32</t>
  </si>
  <si>
    <t>26*REVERSE_FLOAT_32</t>
  </si>
  <si>
    <t>27*SWAP_FLOAT_32</t>
  </si>
  <si>
    <t>28*REVERSE_SWAP_FLOAT_32</t>
  </si>
  <si>
    <t>29*FLOAT_64</t>
  </si>
  <si>
    <t>30*REVERSE_FLOAT_64</t>
  </si>
  <si>
    <t>31*SWAP_FLOAT_64</t>
  </si>
  <si>
    <t>32*REVERSE_SWAP_FLOAT_64</t>
  </si>
  <si>
    <t>33*自研BMS升级</t>
  </si>
  <si>
    <t>34*高特BMS对时</t>
  </si>
  <si>
    <t>35*值对应_16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</si>
</sst>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opLeftCell="J1" workbookViewId="0">
      <selection activeCell="R1" sqref="R$1:R$1048576"/>
    </sheetView>
  </sheetViews>
  <sheetFormatPr defaultColWidth="9" defaultRowHeight="13.5" outlineLevelRow="1"/>
  <cols>
    <col min="1" max="17" width="16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</v>
      </c>
      <c r="B2">
        <v>40002</v>
      </c>
      <c r="C2" t="s">
        <v>17</v>
      </c>
      <c r="D2" t="s">
        <v>18</v>
      </c>
      <c r="E2" t="s">
        <v>19</v>
      </c>
      <c r="F2">
        <v>3</v>
      </c>
      <c r="G2">
        <v>0</v>
      </c>
      <c r="H2">
        <v>0.1</v>
      </c>
      <c r="I2" t="s">
        <v>20</v>
      </c>
      <c r="J2">
        <v>1000</v>
      </c>
      <c r="K2">
        <v>0</v>
      </c>
      <c r="L2">
        <v>0</v>
      </c>
      <c r="M2">
        <v>0</v>
      </c>
      <c r="N2">
        <v>1</v>
      </c>
      <c r="O2">
        <v>1</v>
      </c>
      <c r="P2">
        <v>60</v>
      </c>
      <c r="Q2" t="s">
        <v>21</v>
      </c>
    </row>
  </sheetData>
  <dataValidations count="2">
    <dataValidation type="list" allowBlank="1" sqref="D2:D1000">
      <formula1>附录!$B$2:$B$14</formula1>
    </dataValidation>
    <dataValidation type="list" allowBlank="1" sqref="E2:E1000">
      <formula1>附录!$A$2:$A$36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opLeftCell="F1" workbookViewId="0">
      <selection activeCell="O1" sqref="O$1:O$1048576"/>
    </sheetView>
  </sheetViews>
  <sheetFormatPr defaultColWidth="9" defaultRowHeight="13.5" outlineLevelRow="1"/>
  <cols>
    <col min="1" max="14" width="1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23</v>
      </c>
      <c r="H1" s="1" t="s">
        <v>24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</row>
    <row r="2" spans="1:14">
      <c r="A2">
        <v>2</v>
      </c>
      <c r="B2">
        <v>10002</v>
      </c>
      <c r="C2" t="s">
        <v>25</v>
      </c>
      <c r="D2" t="s">
        <v>26</v>
      </c>
      <c r="E2" t="s">
        <v>27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 t="s">
        <v>21</v>
      </c>
    </row>
  </sheetData>
  <dataValidations count="2">
    <dataValidation type="list" allowBlank="1" sqref="D2:D1000">
      <formula1>附录!$C$2:$C$5</formula1>
    </dataValidation>
    <dataValidation type="list" allowBlank="1" sqref="E2:E1000">
      <formula1>附录!$A$2:$A$36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opLeftCell="G1" workbookViewId="0">
      <selection activeCell="P1" sqref="P$1:P$1048576"/>
    </sheetView>
  </sheetViews>
  <sheetFormatPr defaultColWidth="9" defaultRowHeight="13.5" outlineLevelRow="1"/>
  <cols>
    <col min="1" max="15" width="16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28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16</v>
      </c>
    </row>
    <row r="2" spans="1:15">
      <c r="A2">
        <v>2</v>
      </c>
      <c r="B2">
        <v>30002</v>
      </c>
      <c r="C2" t="s">
        <v>30</v>
      </c>
      <c r="D2" t="s">
        <v>31</v>
      </c>
      <c r="E2" t="s">
        <v>27</v>
      </c>
      <c r="F2">
        <v>3</v>
      </c>
      <c r="G2">
        <v>0</v>
      </c>
      <c r="H2">
        <v>999999999</v>
      </c>
      <c r="I2">
        <v>1</v>
      </c>
      <c r="J2" t="s">
        <v>32</v>
      </c>
      <c r="K2">
        <v>0</v>
      </c>
      <c r="L2">
        <v>0</v>
      </c>
      <c r="M2">
        <v>1</v>
      </c>
      <c r="N2">
        <v>3600</v>
      </c>
      <c r="O2" t="s">
        <v>21</v>
      </c>
    </row>
  </sheetData>
  <dataValidations count="2">
    <dataValidation type="list" allowBlank="1" sqref="D2:D1000">
      <formula1>附录!$D$2:$D$7</formula1>
    </dataValidation>
    <dataValidation type="list" allowBlank="1" sqref="E2:E1000">
      <formula1>附录!$A$2:$A$36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opLeftCell="D1" workbookViewId="0">
      <selection activeCell="K43" sqref="K43"/>
    </sheetView>
  </sheetViews>
  <sheetFormatPr defaultColWidth="9" defaultRowHeight="13.5" outlineLevelRow="1"/>
  <cols>
    <col min="1" max="13" width="16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14</v>
      </c>
      <c r="M1" s="1" t="s">
        <v>16</v>
      </c>
    </row>
    <row r="2" spans="1:13">
      <c r="A2">
        <v>2</v>
      </c>
      <c r="B2">
        <v>40011</v>
      </c>
      <c r="C2" t="s">
        <v>39</v>
      </c>
      <c r="D2" t="s">
        <v>40</v>
      </c>
      <c r="E2">
        <v>6</v>
      </c>
      <c r="F2" t="s">
        <v>41</v>
      </c>
      <c r="G2" t="s">
        <v>42</v>
      </c>
      <c r="H2">
        <v>1</v>
      </c>
      <c r="I2">
        <v>100</v>
      </c>
      <c r="J2">
        <v>-100</v>
      </c>
      <c r="K2">
        <v>30</v>
      </c>
      <c r="L2">
        <v>1</v>
      </c>
      <c r="M2" t="s">
        <v>21</v>
      </c>
    </row>
  </sheetData>
  <dataValidations count="2">
    <dataValidation type="list" allowBlank="1" sqref="D2:D1000">
      <formula1>附录!$A$2:$A$36</formula1>
    </dataValidation>
    <dataValidation type="list" allowBlank="1" sqref="F2:F1000">
      <formula1>附录!$E$2:$E$3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D2" sqref="D2"/>
    </sheetView>
  </sheetViews>
  <sheetFormatPr defaultColWidth="9" defaultRowHeight="13.5" outlineLevelRow="1"/>
  <cols>
    <col min="1" max="10" width="1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33</v>
      </c>
      <c r="G1" s="1" t="s">
        <v>43</v>
      </c>
      <c r="H1" s="1" t="s">
        <v>44</v>
      </c>
      <c r="I1" s="1" t="s">
        <v>14</v>
      </c>
      <c r="J1" s="1" t="s">
        <v>16</v>
      </c>
    </row>
    <row r="2" spans="1:10">
      <c r="A2">
        <v>2</v>
      </c>
      <c r="B2">
        <v>10011</v>
      </c>
      <c r="C2" t="s">
        <v>45</v>
      </c>
      <c r="D2" t="s">
        <v>19</v>
      </c>
      <c r="E2">
        <v>5</v>
      </c>
      <c r="F2" t="s">
        <v>41</v>
      </c>
      <c r="G2" t="s">
        <v>46</v>
      </c>
      <c r="H2">
        <v>30</v>
      </c>
      <c r="I2">
        <v>1</v>
      </c>
      <c r="J2" t="s">
        <v>21</v>
      </c>
    </row>
  </sheetData>
  <dataValidations count="2">
    <dataValidation type="list" allowBlank="1" sqref="D2:D1000">
      <formula1>附录!$A$2:$A$36</formula1>
    </dataValidation>
    <dataValidation type="list" allowBlank="1" sqref="F2:F1000">
      <formula1>附录!$E$2:$E$3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31" sqref="F31"/>
    </sheetView>
  </sheetViews>
  <sheetFormatPr defaultColWidth="9" defaultRowHeight="13.5" outlineLevelRow="1" outlineLevelCol="5"/>
  <cols>
    <col min="1" max="6" width="16" customWidth="1"/>
  </cols>
  <sheetData>
    <row r="1" spans="1:6">
      <c r="A1" s="1" t="s">
        <v>0</v>
      </c>
      <c r="B1" s="1" t="s">
        <v>2</v>
      </c>
      <c r="C1" s="1" t="s">
        <v>47</v>
      </c>
      <c r="D1" s="1" t="s">
        <v>14</v>
      </c>
      <c r="E1" s="1" t="s">
        <v>15</v>
      </c>
      <c r="F1" s="1" t="s">
        <v>16</v>
      </c>
    </row>
    <row r="2" spans="1:6">
      <c r="A2">
        <v>2</v>
      </c>
      <c r="B2" t="s">
        <v>17</v>
      </c>
      <c r="C2" t="s">
        <v>48</v>
      </c>
      <c r="D2">
        <v>1</v>
      </c>
      <c r="E2">
        <v>60</v>
      </c>
      <c r="F2" t="s">
        <v>21</v>
      </c>
    </row>
  </sheetData>
  <dataValidations count="1">
    <dataValidation type="list" allowBlank="1" showInputMessage="1" showErrorMessage="1" sqref="C$1:C$1048576">
      <formula1>附录!$F$2:$F$23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workbookViewId="0">
      <selection activeCell="F7" sqref="F7"/>
    </sheetView>
  </sheetViews>
  <sheetFormatPr defaultColWidth="9" defaultRowHeight="13.5" outlineLevelCol="5"/>
  <cols>
    <col min="1" max="1" width="27.375" customWidth="1"/>
    <col min="2" max="3" width="11.375" customWidth="1"/>
    <col min="4" max="4" width="15.75" customWidth="1"/>
    <col min="5" max="5" width="11.375" customWidth="1"/>
  </cols>
  <sheetData>
    <row r="1" spans="1:6">
      <c r="A1" t="s">
        <v>4</v>
      </c>
      <c r="B1" t="s">
        <v>3</v>
      </c>
      <c r="C1" t="s">
        <v>22</v>
      </c>
      <c r="D1" t="s">
        <v>28</v>
      </c>
      <c r="E1" t="s">
        <v>33</v>
      </c>
      <c r="F1" t="s">
        <v>47</v>
      </c>
    </row>
    <row r="2" spans="1:6">
      <c r="A2" t="s">
        <v>49</v>
      </c>
      <c r="B2" t="s">
        <v>50</v>
      </c>
      <c r="C2" t="s">
        <v>51</v>
      </c>
      <c r="D2" t="s">
        <v>31</v>
      </c>
      <c r="E2" t="s">
        <v>41</v>
      </c>
      <c r="F2" t="s">
        <v>52</v>
      </c>
    </row>
    <row r="3" spans="1:6">
      <c r="A3" t="s">
        <v>27</v>
      </c>
      <c r="B3" t="s">
        <v>18</v>
      </c>
      <c r="C3" t="s">
        <v>26</v>
      </c>
      <c r="D3" t="s">
        <v>53</v>
      </c>
      <c r="E3" t="s">
        <v>54</v>
      </c>
      <c r="F3" t="s">
        <v>55</v>
      </c>
    </row>
    <row r="4" spans="1:6">
      <c r="A4" t="s">
        <v>56</v>
      </c>
      <c r="B4" t="s">
        <v>57</v>
      </c>
      <c r="C4" t="s">
        <v>58</v>
      </c>
      <c r="D4" t="s">
        <v>59</v>
      </c>
      <c r="F4" t="s">
        <v>48</v>
      </c>
    </row>
    <row r="5" spans="1:6">
      <c r="A5" t="s">
        <v>60</v>
      </c>
      <c r="B5" t="s">
        <v>61</v>
      </c>
      <c r="C5" t="s">
        <v>62</v>
      </c>
      <c r="D5" t="s">
        <v>63</v>
      </c>
    </row>
    <row r="6" spans="1:6">
      <c r="A6" t="s">
        <v>64</v>
      </c>
      <c r="B6" t="s">
        <v>65</v>
      </c>
      <c r="D6" t="s">
        <v>66</v>
      </c>
    </row>
    <row r="7" spans="1:6">
      <c r="A7" t="s">
        <v>19</v>
      </c>
      <c r="B7" t="s">
        <v>67</v>
      </c>
      <c r="D7" t="s">
        <v>68</v>
      </c>
    </row>
    <row r="8" spans="1:6">
      <c r="A8" t="s">
        <v>69</v>
      </c>
      <c r="B8" t="s">
        <v>70</v>
      </c>
    </row>
    <row r="9" spans="1:6">
      <c r="A9" t="s">
        <v>40</v>
      </c>
      <c r="B9" t="s">
        <v>71</v>
      </c>
    </row>
    <row r="10" spans="1:6">
      <c r="A10" t="s">
        <v>72</v>
      </c>
      <c r="B10" t="s">
        <v>73</v>
      </c>
    </row>
    <row r="11" spans="1:6">
      <c r="A11" t="s">
        <v>74</v>
      </c>
      <c r="B11" t="s">
        <v>75</v>
      </c>
    </row>
    <row r="12" spans="1:6">
      <c r="A12" t="s">
        <v>76</v>
      </c>
      <c r="B12" t="s">
        <v>77</v>
      </c>
    </row>
    <row r="13" spans="1:6">
      <c r="A13" t="s">
        <v>78</v>
      </c>
      <c r="B13" t="s">
        <v>79</v>
      </c>
    </row>
    <row r="14" spans="1:6">
      <c r="A14" t="s">
        <v>80</v>
      </c>
      <c r="B14" t="s">
        <v>81</v>
      </c>
    </row>
    <row r="15" spans="1:6">
      <c r="A15" t="s">
        <v>82</v>
      </c>
    </row>
    <row r="16" spans="1:6">
      <c r="A16" t="s">
        <v>83</v>
      </c>
    </row>
    <row r="17" spans="1:1">
      <c r="A17" t="s">
        <v>84</v>
      </c>
    </row>
    <row r="18" spans="1:1">
      <c r="A18" t="s">
        <v>85</v>
      </c>
    </row>
    <row r="19" spans="1:1">
      <c r="A19" t="s">
        <v>86</v>
      </c>
    </row>
    <row r="20" spans="1:1">
      <c r="A20" t="s">
        <v>87</v>
      </c>
    </row>
    <row r="21" spans="1:1">
      <c r="A21" t="s">
        <v>88</v>
      </c>
    </row>
    <row r="22" spans="1:1">
      <c r="A22" t="s">
        <v>89</v>
      </c>
    </row>
    <row r="23" spans="1:1">
      <c r="A23" t="s">
        <v>90</v>
      </c>
    </row>
    <row r="24" spans="1:1">
      <c r="A24" t="s">
        <v>91</v>
      </c>
    </row>
    <row r="25" spans="1:1">
      <c r="A25" t="s">
        <v>92</v>
      </c>
    </row>
    <row r="26" spans="1:1">
      <c r="A26" t="s">
        <v>93</v>
      </c>
    </row>
    <row r="27" spans="1:1">
      <c r="A27" t="s">
        <v>94</v>
      </c>
    </row>
    <row r="28" spans="1:1">
      <c r="A28" t="s">
        <v>95</v>
      </c>
    </row>
    <row r="29" spans="1:1">
      <c r="A29" t="s">
        <v>96</v>
      </c>
    </row>
    <row r="30" spans="1:1">
      <c r="A30" t="s">
        <v>97</v>
      </c>
    </row>
    <row r="31" spans="1:1">
      <c r="A31" t="s">
        <v>98</v>
      </c>
    </row>
    <row r="32" spans="1:1">
      <c r="A32" t="s">
        <v>99</v>
      </c>
    </row>
    <row r="33" spans="1:1">
      <c r="A33" t="s">
        <v>100</v>
      </c>
    </row>
    <row r="34" spans="1:1">
      <c r="A34" t="s">
        <v>101</v>
      </c>
    </row>
    <row r="35" spans="1:1">
      <c r="A35" t="s">
        <v>102</v>
      </c>
    </row>
    <row r="36" spans="1:1">
      <c r="A36" t="s">
        <v>103</v>
      </c>
    </row>
    <row r="37" spans="1:1">
      <c r="A37" t="s">
        <v>104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遥测</vt:lpstr>
      <vt:lpstr>遥信</vt:lpstr>
      <vt:lpstr>遥脉</vt:lpstr>
      <vt:lpstr>遥调</vt:lpstr>
      <vt:lpstr>遥控</vt:lpstr>
      <vt:lpstr>属性</vt:lpstr>
      <vt:lpstr>附录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2026-01-05T08:13:00Z</dcterms:created>
  <dcterms:modified xsi:type="dcterms:W3CDTF">2026-04-23T02:28:32Z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913A77E0C10B406697AB890B469AC2AA_12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